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sz\Desktop\Coralku\Research Projects\4. RRE_Outplants\1. Manuscript and analysis\0. Submission\2. final submission\Github\"/>
    </mc:Choice>
  </mc:AlternateContent>
  <xr:revisionPtr revIDLastSave="0" documentId="13_ncr:1_{49A988EB-7FA5-4AD9-B489-D73B54FB126A}" xr6:coauthVersionLast="47" xr6:coauthVersionMax="47" xr10:uidLastSave="{00000000-0000-0000-0000-000000000000}"/>
  <bookViews>
    <workbookView xWindow="-98" yWindow="-98" windowWidth="21795" windowHeight="12975" activeTab="3" xr2:uid="{575F0810-9241-174C-959F-D77AEC5EF526}"/>
  </bookViews>
  <sheets>
    <sheet name="Key_read me" sheetId="16" r:id="rId1"/>
    <sheet name="A. florida" sheetId="10" r:id="rId2"/>
    <sheet name="A. hoeksemai" sheetId="9" r:id="rId3"/>
    <sheet name="A. muricata" sheetId="1" r:id="rId4"/>
    <sheet name="E. horrida" sheetId="12" r:id="rId5"/>
    <sheet name="H. rigida" sheetId="13" r:id="rId6"/>
    <sheet name="P. cylindrica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9" l="1"/>
  <c r="B18" i="12"/>
  <c r="B19" i="12" s="1"/>
  <c r="B24" i="13"/>
  <c r="B25" i="13" s="1"/>
  <c r="D10" i="13"/>
  <c r="D3" i="13"/>
  <c r="D4" i="13"/>
  <c r="D5" i="13"/>
  <c r="D6" i="13"/>
  <c r="D7" i="13"/>
  <c r="D8" i="13"/>
  <c r="D9" i="13"/>
  <c r="D11" i="13"/>
  <c r="D12" i="13"/>
  <c r="D13" i="13"/>
  <c r="D14" i="13"/>
  <c r="D15" i="13"/>
  <c r="D16" i="13"/>
  <c r="D17" i="13"/>
  <c r="D18" i="13"/>
  <c r="D19" i="13"/>
  <c r="D2" i="13"/>
  <c r="D11" i="12"/>
  <c r="D2" i="12"/>
  <c r="D3" i="12"/>
  <c r="D4" i="12"/>
  <c r="D5" i="12"/>
  <c r="D6" i="12"/>
  <c r="D7" i="12"/>
  <c r="D8" i="12"/>
  <c r="D9" i="12"/>
  <c r="D10" i="12"/>
  <c r="D12" i="12"/>
  <c r="D13" i="12"/>
  <c r="D14" i="12"/>
  <c r="B6" i="1"/>
  <c r="D2" i="1"/>
  <c r="B13" i="9"/>
  <c r="D2" i="11"/>
  <c r="B22" i="11" s="1"/>
  <c r="B23" i="11" s="1"/>
  <c r="D3" i="11"/>
  <c r="D4" i="11"/>
  <c r="D5" i="11"/>
  <c r="D6" i="11"/>
  <c r="D7" i="11"/>
  <c r="D8" i="11"/>
  <c r="D9" i="11"/>
  <c r="D10" i="11"/>
  <c r="D11" i="11"/>
  <c r="D12" i="11"/>
  <c r="D13" i="11"/>
  <c r="D17" i="11"/>
  <c r="D14" i="11"/>
  <c r="D15" i="11"/>
  <c r="D16" i="11"/>
  <c r="D3" i="9" l="1"/>
  <c r="D4" i="9"/>
  <c r="D5" i="9"/>
  <c r="D6" i="9"/>
  <c r="D7" i="9"/>
  <c r="D8" i="9"/>
  <c r="D2" i="9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B26" i="10" l="1"/>
  <c r="B27" i="10" s="1"/>
</calcChain>
</file>

<file path=xl/sharedStrings.xml><?xml version="1.0" encoding="utf-8"?>
<sst xmlns="http://schemas.openxmlformats.org/spreadsheetml/2006/main" count="60" uniqueCount="15">
  <si>
    <t>ID</t>
  </si>
  <si>
    <t>SGR</t>
  </si>
  <si>
    <t>Gt1</t>
  </si>
  <si>
    <t>Gt2</t>
  </si>
  <si>
    <t>284 (Green)</t>
  </si>
  <si>
    <t>423 (Green)</t>
  </si>
  <si>
    <t>PM</t>
  </si>
  <si>
    <t>n planted</t>
  </si>
  <si>
    <t>n survived</t>
  </si>
  <si>
    <t>Survival %</t>
  </si>
  <si>
    <t>Geometric mean radius on the day of planting</t>
  </si>
  <si>
    <t>Geometric mean radius on the day 1085</t>
  </si>
  <si>
    <t>Specific growth rate</t>
  </si>
  <si>
    <t>partial mortality (%)</t>
  </si>
  <si>
    <t>Coral propagule 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</si>
</sst>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/>
    <xf numFmtId="2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4" fillId="0" borderId="1" xfId="0" applyFont="1" applyFill="1" applyBorder="1"/>
    <xf numFmtId="0" fontId="0" fillId="0" borderId="0" xfId="0" applyFill="1"/>
    <xf numFmtId="2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1" xfId="0" applyFill="1" applyBorder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wrapText="1"/>
    </xf>
    <xf numFmtId="0" fontId="2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226C-8368-4E56-BD60-7FF736F1A67B}">
  <dimension ref="B2:C6"/>
  <sheetViews>
    <sheetView workbookViewId="0">
      <selection activeCell="C12" sqref="C12"/>
    </sheetView>
  </sheetViews>
  <sheetFormatPr defaultRowHeight="15.75" x14ac:dyDescent="0.5"/>
  <cols>
    <col min="3" max="3" width="38.5" bestFit="1" customWidth="1"/>
  </cols>
  <sheetData>
    <row r="2" spans="2:3" x14ac:dyDescent="0.5">
      <c r="B2" t="s">
        <v>0</v>
      </c>
      <c r="C2" t="s">
        <v>14</v>
      </c>
    </row>
    <row r="3" spans="2:3" x14ac:dyDescent="0.5">
      <c r="B3" t="s">
        <v>2</v>
      </c>
      <c r="C3" t="s">
        <v>10</v>
      </c>
    </row>
    <row r="4" spans="2:3" x14ac:dyDescent="0.5">
      <c r="B4" t="s">
        <v>3</v>
      </c>
      <c r="C4" t="s">
        <v>11</v>
      </c>
    </row>
    <row r="5" spans="2:3" x14ac:dyDescent="0.5">
      <c r="B5" t="s">
        <v>1</v>
      </c>
      <c r="C5" t="s">
        <v>12</v>
      </c>
    </row>
    <row r="6" spans="2:3" x14ac:dyDescent="0.5">
      <c r="B6" t="s">
        <v>6</v>
      </c>
      <c r="C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B861-8328-49C2-967A-14A5F41B0C93}">
  <dimension ref="A1:F27"/>
  <sheetViews>
    <sheetView workbookViewId="0">
      <pane ySplit="1" topLeftCell="A2" activePane="bottomLeft" state="frozen"/>
      <selection pane="bottomLeft" activeCell="I13" sqref="I13"/>
    </sheetView>
  </sheetViews>
  <sheetFormatPr defaultRowHeight="15.75" x14ac:dyDescent="0.5"/>
  <cols>
    <col min="1" max="1" width="10.5" bestFit="1" customWidth="1"/>
    <col min="2" max="5" width="11.875" bestFit="1" customWidth="1"/>
    <col min="6" max="6" width="8.125" bestFit="1" customWidth="1"/>
  </cols>
  <sheetData>
    <row r="1" spans="1:6" x14ac:dyDescent="0.5">
      <c r="A1" s="5" t="s">
        <v>0</v>
      </c>
      <c r="B1" s="5" t="s">
        <v>2</v>
      </c>
      <c r="C1" s="5" t="s">
        <v>3</v>
      </c>
      <c r="D1" s="5" t="s">
        <v>1</v>
      </c>
      <c r="E1" s="14" t="s">
        <v>6</v>
      </c>
      <c r="F1" s="19"/>
    </row>
    <row r="2" spans="1:6" x14ac:dyDescent="0.5">
      <c r="A2" s="2">
        <v>201</v>
      </c>
      <c r="B2" s="2">
        <v>2.491491072115148</v>
      </c>
      <c r="C2" s="11">
        <v>15.582975071278458</v>
      </c>
      <c r="D2">
        <f>(((LN(C2))-(LN(B2)))*100)/1085</f>
        <v>0.16896752270306989</v>
      </c>
      <c r="E2" s="4">
        <v>0</v>
      </c>
    </row>
    <row r="3" spans="1:6" x14ac:dyDescent="0.5">
      <c r="A3" s="2">
        <v>207</v>
      </c>
      <c r="B3" s="2">
        <v>2.4552020523842963</v>
      </c>
      <c r="C3" s="11">
        <v>3.2452395789252195</v>
      </c>
      <c r="D3">
        <f t="shared" ref="D3:D22" si="0">(((LN(C3))-(LN(B3)))*100)/1085</f>
        <v>2.5712453212102641E-2</v>
      </c>
      <c r="E3" s="4">
        <v>0</v>
      </c>
    </row>
    <row r="4" spans="1:6" x14ac:dyDescent="0.5">
      <c r="A4" s="2">
        <v>218</v>
      </c>
      <c r="B4" s="2">
        <v>2.3227345258148446</v>
      </c>
      <c r="C4" s="11">
        <v>12.454769869555093</v>
      </c>
      <c r="D4">
        <f t="shared" si="0"/>
        <v>0.15477958572205919</v>
      </c>
      <c r="E4" s="4">
        <v>0</v>
      </c>
    </row>
    <row r="5" spans="1:6" x14ac:dyDescent="0.5">
      <c r="A5" s="2">
        <v>270</v>
      </c>
      <c r="B5" s="2">
        <v>3.0999999999999996</v>
      </c>
      <c r="C5" s="11">
        <v>20.538495977492644</v>
      </c>
      <c r="D5">
        <f t="shared" si="0"/>
        <v>0.1742763932030382</v>
      </c>
      <c r="E5" s="4">
        <v>0</v>
      </c>
    </row>
    <row r="6" spans="1:6" x14ac:dyDescent="0.5">
      <c r="A6" s="2">
        <v>276</v>
      </c>
      <c r="B6" s="2">
        <v>2.3452446466374615</v>
      </c>
      <c r="C6" s="11">
        <v>13.736570910639983</v>
      </c>
      <c r="D6">
        <f t="shared" si="0"/>
        <v>0.16291907487955731</v>
      </c>
      <c r="E6" s="4">
        <v>0</v>
      </c>
    </row>
    <row r="7" spans="1:6" x14ac:dyDescent="0.5">
      <c r="A7" s="2">
        <v>288</v>
      </c>
      <c r="B7" s="2">
        <v>3.6584217866417483</v>
      </c>
      <c r="C7" s="11">
        <v>18.316024066781303</v>
      </c>
      <c r="D7">
        <f t="shared" si="0"/>
        <v>0.14845571061641472</v>
      </c>
      <c r="E7" s="4">
        <v>0</v>
      </c>
    </row>
    <row r="8" spans="1:6" x14ac:dyDescent="0.5">
      <c r="A8" s="2">
        <v>294</v>
      </c>
      <c r="B8" s="2">
        <v>2.4855836945152041</v>
      </c>
      <c r="C8" s="11">
        <v>13.756195555058875</v>
      </c>
      <c r="D8">
        <f t="shared" si="0"/>
        <v>0.1576941741341891</v>
      </c>
      <c r="E8" s="4">
        <v>0</v>
      </c>
    </row>
    <row r="9" spans="1:6" x14ac:dyDescent="0.5">
      <c r="A9" s="2">
        <v>295</v>
      </c>
      <c r="B9" s="2">
        <v>2.0181473390109939</v>
      </c>
      <c r="C9" s="11">
        <v>14.732594618181244</v>
      </c>
      <c r="D9">
        <f t="shared" si="0"/>
        <v>0.18321497036506665</v>
      </c>
      <c r="E9" s="4">
        <v>0</v>
      </c>
    </row>
    <row r="10" spans="1:6" x14ac:dyDescent="0.5">
      <c r="A10" s="2">
        <v>322</v>
      </c>
      <c r="B10" s="2">
        <v>1.8870775921266132</v>
      </c>
      <c r="C10" s="11">
        <v>13.489017130454759</v>
      </c>
      <c r="D10">
        <f t="shared" si="0"/>
        <v>0.18127616807364716</v>
      </c>
      <c r="E10" s="4">
        <v>0</v>
      </c>
    </row>
    <row r="11" spans="1:6" x14ac:dyDescent="0.5">
      <c r="A11" s="2">
        <v>344</v>
      </c>
      <c r="B11" s="2">
        <v>2.6970017014000311</v>
      </c>
      <c r="C11" s="11">
        <v>13.807746123773832</v>
      </c>
      <c r="D11">
        <f t="shared" si="0"/>
        <v>0.15051512193513483</v>
      </c>
      <c r="E11" s="4">
        <v>0</v>
      </c>
    </row>
    <row r="12" spans="1:6" x14ac:dyDescent="0.5">
      <c r="A12" s="2">
        <v>364</v>
      </c>
      <c r="B12" s="2">
        <v>2.7150564853653862</v>
      </c>
      <c r="C12" s="11">
        <v>5.5164493768168938</v>
      </c>
      <c r="D12">
        <f t="shared" si="0"/>
        <v>6.5338402433068113E-2</v>
      </c>
      <c r="E12" s="4">
        <v>0</v>
      </c>
    </row>
    <row r="13" spans="1:6" x14ac:dyDescent="0.5">
      <c r="A13" s="2">
        <v>371</v>
      </c>
      <c r="B13" s="2">
        <v>3.2308538991707003</v>
      </c>
      <c r="C13" s="11">
        <v>5.1378322097578701</v>
      </c>
      <c r="D13">
        <f t="shared" si="0"/>
        <v>4.2754357056863479E-2</v>
      </c>
      <c r="E13" s="4">
        <v>0</v>
      </c>
    </row>
    <row r="14" spans="1:6" x14ac:dyDescent="0.5">
      <c r="A14" s="2">
        <v>389</v>
      </c>
      <c r="B14" s="2">
        <v>4.369031862292263</v>
      </c>
      <c r="C14" s="11">
        <v>13.924766500838338</v>
      </c>
      <c r="D14">
        <f t="shared" si="0"/>
        <v>0.10683203452321387</v>
      </c>
      <c r="E14" s="4">
        <v>0</v>
      </c>
    </row>
    <row r="15" spans="1:6" x14ac:dyDescent="0.5">
      <c r="A15" s="2">
        <v>399</v>
      </c>
      <c r="B15" s="2">
        <v>2.8531820414779308</v>
      </c>
      <c r="C15" s="11">
        <v>8.6065031036315816</v>
      </c>
      <c r="D15">
        <f t="shared" si="0"/>
        <v>0.10175882166921044</v>
      </c>
      <c r="E15" s="4">
        <v>0</v>
      </c>
    </row>
    <row r="16" spans="1:6" x14ac:dyDescent="0.5">
      <c r="A16" s="2">
        <v>406</v>
      </c>
      <c r="B16" s="2">
        <v>2.3737888561599769</v>
      </c>
      <c r="C16" s="11">
        <v>7.8125701327037511</v>
      </c>
      <c r="D16">
        <f t="shared" si="0"/>
        <v>0.10979231704093935</v>
      </c>
      <c r="E16" s="4">
        <v>0</v>
      </c>
    </row>
    <row r="17" spans="1:5" x14ac:dyDescent="0.5">
      <c r="A17" s="3">
        <v>418</v>
      </c>
      <c r="B17" s="2">
        <v>2.934506532547946</v>
      </c>
      <c r="C17" s="11">
        <v>14.182490154789203</v>
      </c>
      <c r="D17">
        <f t="shared" si="0"/>
        <v>0.14520449851656855</v>
      </c>
      <c r="E17" s="4">
        <v>0</v>
      </c>
    </row>
    <row r="18" spans="1:5" x14ac:dyDescent="0.5">
      <c r="A18" s="3">
        <v>419</v>
      </c>
      <c r="B18" s="2">
        <v>3.6695454893779771</v>
      </c>
      <c r="C18" s="11">
        <v>19.551239338582761</v>
      </c>
      <c r="D18">
        <f t="shared" si="0"/>
        <v>0.15419086342479835</v>
      </c>
      <c r="E18" s="4">
        <v>0</v>
      </c>
    </row>
    <row r="19" spans="1:5" x14ac:dyDescent="0.5">
      <c r="A19" s="3">
        <v>428</v>
      </c>
      <c r="B19" s="2">
        <v>3.0074813277365107</v>
      </c>
      <c r="C19" s="11">
        <v>6.921796230337069</v>
      </c>
      <c r="D19">
        <f t="shared" si="0"/>
        <v>7.6826944380077394E-2</v>
      </c>
      <c r="E19" s="4">
        <v>0</v>
      </c>
    </row>
    <row r="20" spans="1:5" x14ac:dyDescent="0.5">
      <c r="A20" s="2">
        <v>431</v>
      </c>
      <c r="B20" s="2">
        <v>2.6897185574549072</v>
      </c>
      <c r="C20" s="11">
        <v>14.413283460330463</v>
      </c>
      <c r="D20">
        <f t="shared" si="0"/>
        <v>0.15472015495291697</v>
      </c>
      <c r="E20" s="4">
        <v>10</v>
      </c>
    </row>
    <row r="21" spans="1:5" x14ac:dyDescent="0.5">
      <c r="A21" s="2">
        <v>444</v>
      </c>
      <c r="B21">
        <v>2.5128999882976659</v>
      </c>
      <c r="C21" s="11">
        <v>10.761632261602587</v>
      </c>
      <c r="D21">
        <f t="shared" si="0"/>
        <v>0.13405988759142545</v>
      </c>
      <c r="E21" s="4">
        <v>0</v>
      </c>
    </row>
    <row r="22" spans="1:5" s="6" customFormat="1" x14ac:dyDescent="0.5">
      <c r="A22" s="8">
        <v>445</v>
      </c>
      <c r="B22" s="8">
        <v>3.042361968609113</v>
      </c>
      <c r="C22" s="13">
        <v>4.6770878222562731</v>
      </c>
      <c r="D22" s="6">
        <f t="shared" si="0"/>
        <v>3.9635159349959377E-2</v>
      </c>
      <c r="E22" s="18">
        <v>45</v>
      </c>
    </row>
    <row r="25" spans="1:5" x14ac:dyDescent="0.5">
      <c r="A25" t="s">
        <v>7</v>
      </c>
      <c r="B25">
        <v>44</v>
      </c>
    </row>
    <row r="26" spans="1:5" x14ac:dyDescent="0.5">
      <c r="A26" t="s">
        <v>8</v>
      </c>
      <c r="B26">
        <f>COUNT(D6:D22)</f>
        <v>17</v>
      </c>
    </row>
    <row r="27" spans="1:5" x14ac:dyDescent="0.5">
      <c r="A27" t="s">
        <v>9</v>
      </c>
      <c r="B27">
        <f>B26/B25*100</f>
        <v>38.636363636363633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DE9D-2833-4478-9D76-FD1B8B76BFB8}">
  <dimension ref="A1:E13"/>
  <sheetViews>
    <sheetView workbookViewId="0">
      <pane ySplit="1" topLeftCell="A2" activePane="bottomLeft" state="frozen"/>
      <selection pane="bottomLeft" activeCell="G12" sqref="G12"/>
    </sheetView>
  </sheetViews>
  <sheetFormatPr defaultRowHeight="15.75" x14ac:dyDescent="0.5"/>
  <cols>
    <col min="1" max="1" width="10.5" style="1" bestFit="1" customWidth="1"/>
    <col min="4" max="4" width="11.875" bestFit="1" customWidth="1"/>
  </cols>
  <sheetData>
    <row r="1" spans="1:5" s="5" customFormat="1" x14ac:dyDescent="0.5">
      <c r="A1" s="14" t="s">
        <v>0</v>
      </c>
      <c r="B1" s="5" t="s">
        <v>2</v>
      </c>
      <c r="C1" s="5" t="s">
        <v>3</v>
      </c>
      <c r="D1" s="5" t="s">
        <v>1</v>
      </c>
      <c r="E1" s="5" t="s">
        <v>6</v>
      </c>
    </row>
    <row r="2" spans="1:5" x14ac:dyDescent="0.5">
      <c r="A2" s="9">
        <v>202</v>
      </c>
      <c r="B2" s="2">
        <v>1.2785432646305397</v>
      </c>
      <c r="C2" s="11">
        <v>11.727359451096165</v>
      </c>
      <c r="D2">
        <f>(((LN(C2))-(LN(B2)))*100)/1085</f>
        <v>0.20425835679862644</v>
      </c>
      <c r="E2" s="4">
        <v>0</v>
      </c>
    </row>
    <row r="3" spans="1:5" x14ac:dyDescent="0.5">
      <c r="A3" s="9">
        <v>212</v>
      </c>
      <c r="B3" s="2">
        <v>2.329180822996892</v>
      </c>
      <c r="C3" s="11">
        <v>11.395011667974551</v>
      </c>
      <c r="D3">
        <f t="shared" ref="D3:D8" si="0">(((LN(C3))-(LN(B3)))*100)/1085</f>
        <v>0.14632802387153487</v>
      </c>
      <c r="E3" s="4">
        <v>5</v>
      </c>
    </row>
    <row r="4" spans="1:5" x14ac:dyDescent="0.5">
      <c r="A4" s="9" t="s">
        <v>4</v>
      </c>
      <c r="B4">
        <v>1.5208207709393713</v>
      </c>
      <c r="C4" s="11">
        <v>16.97487638391879</v>
      </c>
      <c r="D4">
        <f t="shared" si="0"/>
        <v>0.22234877614495285</v>
      </c>
      <c r="E4" s="4">
        <v>0</v>
      </c>
    </row>
    <row r="5" spans="1:5" x14ac:dyDescent="0.5">
      <c r="A5" s="2">
        <v>330</v>
      </c>
      <c r="B5" s="2">
        <v>2.2846488710267341</v>
      </c>
      <c r="C5" s="11">
        <v>13.219164082843083</v>
      </c>
      <c r="D5">
        <f t="shared" si="0"/>
        <v>0.16179311111340808</v>
      </c>
      <c r="E5" s="4">
        <v>0</v>
      </c>
    </row>
    <row r="6" spans="1:5" x14ac:dyDescent="0.5">
      <c r="A6" s="2">
        <v>367</v>
      </c>
      <c r="B6" s="2">
        <v>1.5962150115578424</v>
      </c>
      <c r="C6" s="11">
        <v>9.6264893405675185</v>
      </c>
      <c r="D6">
        <f t="shared" si="0"/>
        <v>0.16561137289499286</v>
      </c>
      <c r="E6" s="4">
        <v>0</v>
      </c>
    </row>
    <row r="7" spans="1:5" x14ac:dyDescent="0.5">
      <c r="A7" s="3" t="s">
        <v>5</v>
      </c>
      <c r="B7" s="2">
        <v>2.6171694076866183</v>
      </c>
      <c r="C7" s="11">
        <v>13.735298888138898</v>
      </c>
      <c r="D7">
        <f t="shared" si="0"/>
        <v>0.1527996060250103</v>
      </c>
      <c r="E7" s="4">
        <v>0</v>
      </c>
    </row>
    <row r="8" spans="1:5" s="6" customFormat="1" x14ac:dyDescent="0.5">
      <c r="A8" s="8">
        <v>472</v>
      </c>
      <c r="B8" s="8">
        <v>2.8108212203589913</v>
      </c>
      <c r="C8" s="13">
        <v>17.811384376624666</v>
      </c>
      <c r="D8" s="6">
        <f t="shared" si="0"/>
        <v>0.17017153315137865</v>
      </c>
      <c r="E8" s="18">
        <v>0</v>
      </c>
    </row>
    <row r="11" spans="1:5" x14ac:dyDescent="0.5">
      <c r="A11" t="s">
        <v>7</v>
      </c>
      <c r="B11">
        <v>44</v>
      </c>
    </row>
    <row r="12" spans="1:5" x14ac:dyDescent="0.5">
      <c r="A12" t="s">
        <v>8</v>
      </c>
      <c r="B12">
        <f>COUNT(A2:A8)</f>
        <v>5</v>
      </c>
    </row>
    <row r="13" spans="1:5" x14ac:dyDescent="0.5">
      <c r="A13" t="s">
        <v>9</v>
      </c>
      <c r="B13">
        <f>B12/B11*100</f>
        <v>11.363636363636363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5C04-C54D-6242-881A-CE5CBCC55303}">
  <dimension ref="A1:E6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11" defaultRowHeight="15.75" x14ac:dyDescent="0.5"/>
  <cols>
    <col min="1" max="1" width="14.625" bestFit="1" customWidth="1"/>
    <col min="2" max="2" width="12.625" bestFit="1" customWidth="1"/>
    <col min="3" max="3" width="12.125" bestFit="1" customWidth="1"/>
    <col min="4" max="4" width="14" bestFit="1" customWidth="1"/>
    <col min="6" max="6" width="15.125" bestFit="1" customWidth="1"/>
  </cols>
  <sheetData>
    <row r="1" spans="1:5" s="5" customFormat="1" x14ac:dyDescent="0.5">
      <c r="A1" s="5" t="s">
        <v>0</v>
      </c>
      <c r="B1" s="5" t="s">
        <v>2</v>
      </c>
      <c r="C1" s="5" t="s">
        <v>3</v>
      </c>
      <c r="D1" s="5" t="s">
        <v>1</v>
      </c>
      <c r="E1" s="5" t="s">
        <v>6</v>
      </c>
    </row>
    <row r="2" spans="1:5" x14ac:dyDescent="0.5">
      <c r="A2" s="2">
        <v>268</v>
      </c>
      <c r="B2" s="2">
        <v>1.7774976410444221</v>
      </c>
      <c r="C2" s="12">
        <v>18.591463304223378</v>
      </c>
      <c r="D2">
        <f>(((LN(C2))-(LN(B2)))*100)/1085</f>
        <v>0.21635907443785846</v>
      </c>
      <c r="E2">
        <v>80</v>
      </c>
    </row>
    <row r="4" spans="1:5" x14ac:dyDescent="0.5">
      <c r="A4" t="s">
        <v>7</v>
      </c>
      <c r="B4">
        <v>34</v>
      </c>
    </row>
    <row r="5" spans="1:5" x14ac:dyDescent="0.5">
      <c r="A5" t="s">
        <v>8</v>
      </c>
      <c r="B5">
        <v>1</v>
      </c>
    </row>
    <row r="6" spans="1:5" x14ac:dyDescent="0.5">
      <c r="A6" t="s">
        <v>9</v>
      </c>
      <c r="B6">
        <f>B5/B4*100</f>
        <v>2.9411764705882351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CFF3-68FD-455D-979D-F76319DF1CEF}">
  <dimension ref="A1:E19"/>
  <sheetViews>
    <sheetView workbookViewId="0">
      <pane ySplit="1" topLeftCell="A2" activePane="bottomLeft" state="frozen"/>
      <selection pane="bottomLeft" activeCell="A11" sqref="A11"/>
    </sheetView>
  </sheetViews>
  <sheetFormatPr defaultRowHeight="15.75" x14ac:dyDescent="0.5"/>
  <cols>
    <col min="1" max="1" width="16.75" customWidth="1"/>
    <col min="2" max="6" width="11.875" bestFit="1" customWidth="1"/>
  </cols>
  <sheetData>
    <row r="1" spans="1:5" x14ac:dyDescent="0.5">
      <c r="A1" s="5" t="s">
        <v>0</v>
      </c>
      <c r="B1" s="5" t="s">
        <v>2</v>
      </c>
      <c r="C1" s="5" t="s">
        <v>3</v>
      </c>
      <c r="D1" s="5" t="s">
        <v>1</v>
      </c>
      <c r="E1" s="5" t="s">
        <v>6</v>
      </c>
    </row>
    <row r="2" spans="1:5" x14ac:dyDescent="0.5">
      <c r="A2" s="2">
        <v>224</v>
      </c>
      <c r="B2" s="2">
        <v>2.9662892813449511</v>
      </c>
      <c r="C2" s="12">
        <v>10.149341929558133</v>
      </c>
      <c r="D2">
        <f t="shared" ref="D2:D14" si="0">(((LN(C2))-(LN(B2)))*100)/1085</f>
        <v>0.11337300437020945</v>
      </c>
      <c r="E2" s="4">
        <v>0</v>
      </c>
    </row>
    <row r="3" spans="1:5" x14ac:dyDescent="0.5">
      <c r="A3" s="2">
        <v>230</v>
      </c>
      <c r="B3" s="2">
        <v>2.3106625286773452</v>
      </c>
      <c r="C3" s="12">
        <v>4.7381718635084749</v>
      </c>
      <c r="D3">
        <f t="shared" si="0"/>
        <v>6.6185906557144222E-2</v>
      </c>
      <c r="E3" s="4">
        <v>0</v>
      </c>
    </row>
    <row r="4" spans="1:5" x14ac:dyDescent="0.5">
      <c r="A4" s="2">
        <v>232</v>
      </c>
      <c r="B4" s="2">
        <v>2.738741852267923</v>
      </c>
      <c r="C4" s="12">
        <v>9.4038312434440172</v>
      </c>
      <c r="D4">
        <f t="shared" si="0"/>
        <v>0.11369756206330724</v>
      </c>
      <c r="E4" s="4">
        <v>0</v>
      </c>
    </row>
    <row r="5" spans="1:5" x14ac:dyDescent="0.5">
      <c r="A5" s="2">
        <v>238</v>
      </c>
      <c r="B5" s="2">
        <v>2.7256808892482085</v>
      </c>
      <c r="C5" s="12">
        <v>9.8226050444290696</v>
      </c>
      <c r="D5">
        <f t="shared" si="0"/>
        <v>0.11815374213289488</v>
      </c>
      <c r="E5" s="4">
        <v>0</v>
      </c>
    </row>
    <row r="6" spans="1:5" x14ac:dyDescent="0.5">
      <c r="A6" s="2">
        <v>239</v>
      </c>
      <c r="B6" s="15">
        <v>2.1735644730978918</v>
      </c>
      <c r="C6" s="12">
        <v>6.2464854907530611</v>
      </c>
      <c r="D6">
        <f t="shared" si="0"/>
        <v>9.7294981551978646E-2</v>
      </c>
      <c r="E6" s="4">
        <v>0</v>
      </c>
    </row>
    <row r="7" spans="1:5" x14ac:dyDescent="0.5">
      <c r="A7" s="2">
        <v>240</v>
      </c>
      <c r="B7" s="2">
        <v>2.1259534360508496</v>
      </c>
      <c r="C7" s="12">
        <v>9.5610108464686068</v>
      </c>
      <c r="D7">
        <f t="shared" si="0"/>
        <v>0.13856894755868332</v>
      </c>
      <c r="E7" s="4">
        <v>0</v>
      </c>
    </row>
    <row r="8" spans="1:5" x14ac:dyDescent="0.5">
      <c r="A8" s="2">
        <v>247</v>
      </c>
      <c r="B8" s="2">
        <v>1.6605386068562162</v>
      </c>
      <c r="C8" s="12">
        <v>6.395732832603529</v>
      </c>
      <c r="D8">
        <f t="shared" si="0"/>
        <v>0.12428470150995986</v>
      </c>
      <c r="E8" s="4">
        <v>0</v>
      </c>
    </row>
    <row r="9" spans="1:5" x14ac:dyDescent="0.5">
      <c r="A9" s="2">
        <v>248</v>
      </c>
      <c r="B9" s="2">
        <v>1.8515934651838626</v>
      </c>
      <c r="C9" s="12">
        <v>8.7756904838921912</v>
      </c>
      <c r="D9">
        <f t="shared" si="0"/>
        <v>0.14340450257983486</v>
      </c>
      <c r="E9" s="4">
        <v>0</v>
      </c>
    </row>
    <row r="10" spans="1:5" x14ac:dyDescent="0.5">
      <c r="A10" s="2">
        <v>250</v>
      </c>
      <c r="B10" s="2">
        <v>2.5606500627796667</v>
      </c>
      <c r="C10" s="12">
        <v>6.0695608029648982</v>
      </c>
      <c r="D10">
        <f t="shared" si="0"/>
        <v>7.9541482955191825E-2</v>
      </c>
      <c r="E10" s="4">
        <v>0</v>
      </c>
    </row>
    <row r="11" spans="1:5" x14ac:dyDescent="0.5">
      <c r="A11" s="24">
        <v>306</v>
      </c>
      <c r="B11" s="15">
        <v>1.6536497111047732</v>
      </c>
      <c r="C11" s="12">
        <v>7.5563751834145778</v>
      </c>
      <c r="D11">
        <f t="shared" si="0"/>
        <v>0.14003749408561225</v>
      </c>
      <c r="E11" s="4">
        <v>0</v>
      </c>
    </row>
    <row r="12" spans="1:5" x14ac:dyDescent="0.5">
      <c r="A12" s="2">
        <v>321</v>
      </c>
      <c r="B12" s="2">
        <v>2.3610913749471649</v>
      </c>
      <c r="C12" s="12">
        <v>7.5595262993692405</v>
      </c>
      <c r="D12">
        <f t="shared" si="0"/>
        <v>0.10725203412546903</v>
      </c>
      <c r="E12" s="4">
        <v>0</v>
      </c>
    </row>
    <row r="13" spans="1:5" x14ac:dyDescent="0.5">
      <c r="A13" s="2">
        <v>335</v>
      </c>
      <c r="B13" s="2">
        <v>2.9317944177564756</v>
      </c>
      <c r="C13" s="12">
        <v>8.9823935630409633</v>
      </c>
      <c r="D13">
        <f t="shared" si="0"/>
        <v>0.10319370744027505</v>
      </c>
      <c r="E13" s="4">
        <v>0</v>
      </c>
    </row>
    <row r="14" spans="1:5" s="6" customFormat="1" x14ac:dyDescent="0.5">
      <c r="A14" s="16">
        <v>437</v>
      </c>
      <c r="B14" s="8">
        <v>3.1071289280843213</v>
      </c>
      <c r="C14" s="17">
        <v>10.67423562180182</v>
      </c>
      <c r="D14" s="6">
        <f t="shared" si="0"/>
        <v>0.11374505313197879</v>
      </c>
      <c r="E14" s="18">
        <v>5</v>
      </c>
    </row>
    <row r="17" spans="1:2" x14ac:dyDescent="0.5">
      <c r="A17" t="s">
        <v>7</v>
      </c>
      <c r="B17">
        <v>41</v>
      </c>
    </row>
    <row r="18" spans="1:2" x14ac:dyDescent="0.5">
      <c r="A18" t="s">
        <v>8</v>
      </c>
      <c r="B18">
        <f>COUNT(A2:A14)</f>
        <v>13</v>
      </c>
    </row>
    <row r="19" spans="1:2" x14ac:dyDescent="0.5">
      <c r="A19" t="s">
        <v>9</v>
      </c>
      <c r="B19">
        <f>B18/B17*100</f>
        <v>31.707317073170731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558B-9334-4CAA-B8CD-C4BEC2D443D2}">
  <dimension ref="A1:E25"/>
  <sheetViews>
    <sheetView workbookViewId="0">
      <pane ySplit="1" topLeftCell="A8" activePane="bottomLeft" state="frozen"/>
      <selection pane="bottomLeft" activeCell="B25" sqref="B25"/>
    </sheetView>
  </sheetViews>
  <sheetFormatPr defaultRowHeight="15.75" x14ac:dyDescent="0.5"/>
  <cols>
    <col min="1" max="1" width="11.375" style="26" customWidth="1"/>
    <col min="2" max="5" width="11.875" style="26" bestFit="1" customWidth="1"/>
    <col min="6" max="16384" width="9" style="26"/>
  </cols>
  <sheetData>
    <row r="1" spans="1:5" x14ac:dyDescent="0.5">
      <c r="A1" s="25" t="s">
        <v>0</v>
      </c>
      <c r="B1" s="25" t="s">
        <v>2</v>
      </c>
      <c r="C1" s="25" t="s">
        <v>3</v>
      </c>
      <c r="D1" s="25" t="s">
        <v>1</v>
      </c>
      <c r="E1" s="25" t="s">
        <v>6</v>
      </c>
    </row>
    <row r="2" spans="1:5" x14ac:dyDescent="0.5">
      <c r="A2" s="24">
        <v>208</v>
      </c>
      <c r="B2" s="24">
        <v>3.4181697398814599</v>
      </c>
      <c r="C2" s="27">
        <v>9.078025310132972</v>
      </c>
      <c r="D2" s="26">
        <f>(((LN(C2))-(LN(B2)))*100)/1085</f>
        <v>9.0023174936236031E-2</v>
      </c>
      <c r="E2" s="28">
        <v>0</v>
      </c>
    </row>
    <row r="3" spans="1:5" x14ac:dyDescent="0.5">
      <c r="A3" s="24">
        <v>209</v>
      </c>
      <c r="B3" s="24">
        <v>3.2026670473590304</v>
      </c>
      <c r="C3" s="27">
        <v>12.192497402683282</v>
      </c>
      <c r="D3" s="26">
        <f t="shared" ref="D3:D19" si="0">(((LN(C3))-(LN(B3)))*100)/1085</f>
        <v>0.12321077240547496</v>
      </c>
      <c r="E3" s="28">
        <v>0</v>
      </c>
    </row>
    <row r="4" spans="1:5" x14ac:dyDescent="0.5">
      <c r="A4" s="24">
        <v>214</v>
      </c>
      <c r="B4" s="24">
        <v>2.2824115245903913</v>
      </c>
      <c r="C4" s="27">
        <v>12.221801026195253</v>
      </c>
      <c r="D4" s="26">
        <f t="shared" si="0"/>
        <v>0.15465334157926638</v>
      </c>
      <c r="E4" s="28">
        <v>0</v>
      </c>
    </row>
    <row r="5" spans="1:5" x14ac:dyDescent="0.5">
      <c r="A5" s="24">
        <v>225</v>
      </c>
      <c r="B5" s="24">
        <v>2.4312747126659371</v>
      </c>
      <c r="C5" s="27">
        <v>5.1952063811780249</v>
      </c>
      <c r="D5" s="26">
        <f t="shared" si="0"/>
        <v>6.9983470757924118E-2</v>
      </c>
      <c r="E5" s="28">
        <v>0</v>
      </c>
    </row>
    <row r="6" spans="1:5" x14ac:dyDescent="0.5">
      <c r="A6" s="24">
        <v>229</v>
      </c>
      <c r="B6" s="24">
        <v>2.6932271950843401</v>
      </c>
      <c r="C6" s="27">
        <v>2.916444427511077</v>
      </c>
      <c r="D6" s="26">
        <f t="shared" si="0"/>
        <v>7.3387131054138384E-3</v>
      </c>
      <c r="E6" s="28">
        <v>0</v>
      </c>
    </row>
    <row r="7" spans="1:5" x14ac:dyDescent="0.5">
      <c r="A7" s="24">
        <v>243</v>
      </c>
      <c r="B7" s="24">
        <v>2.0358132124461799</v>
      </c>
      <c r="C7" s="27">
        <v>11.33085778302431</v>
      </c>
      <c r="D7" s="26">
        <f t="shared" si="0"/>
        <v>0.15821515475693182</v>
      </c>
      <c r="E7" s="28">
        <v>0</v>
      </c>
    </row>
    <row r="8" spans="1:5" x14ac:dyDescent="0.5">
      <c r="A8" s="24">
        <v>257</v>
      </c>
      <c r="B8" s="24">
        <v>2.9075999625045137</v>
      </c>
      <c r="C8" s="27">
        <v>6.6465714325404504</v>
      </c>
      <c r="D8" s="26">
        <f t="shared" si="0"/>
        <v>7.62002914218462E-2</v>
      </c>
      <c r="E8" s="28">
        <v>0</v>
      </c>
    </row>
    <row r="9" spans="1:5" x14ac:dyDescent="0.5">
      <c r="A9" s="24">
        <v>263</v>
      </c>
      <c r="B9" s="24">
        <v>2.9674253554818186</v>
      </c>
      <c r="C9" s="27">
        <v>15.840671267848887</v>
      </c>
      <c r="D9" s="26">
        <f t="shared" si="0"/>
        <v>0.1543673797540657</v>
      </c>
      <c r="E9" s="28">
        <v>0</v>
      </c>
    </row>
    <row r="10" spans="1:5" x14ac:dyDescent="0.5">
      <c r="A10" s="24">
        <v>293</v>
      </c>
      <c r="B10" s="30">
        <v>1.7732675021572915</v>
      </c>
      <c r="C10" s="27">
        <v>4.6360354934187082</v>
      </c>
      <c r="D10" s="26">
        <f t="shared" si="0"/>
        <v>8.8574718003611219E-2</v>
      </c>
      <c r="E10" s="28">
        <v>0</v>
      </c>
    </row>
    <row r="11" spans="1:5" x14ac:dyDescent="0.5">
      <c r="A11" s="24">
        <v>297</v>
      </c>
      <c r="B11" s="24">
        <v>2.0538693527614589</v>
      </c>
      <c r="C11" s="27">
        <v>17.460864928830699</v>
      </c>
      <c r="D11" s="26">
        <f t="shared" si="0"/>
        <v>0.19725682798943076</v>
      </c>
      <c r="E11" s="28">
        <v>0</v>
      </c>
    </row>
    <row r="12" spans="1:5" x14ac:dyDescent="0.5">
      <c r="A12" s="24">
        <v>319</v>
      </c>
      <c r="B12" s="24">
        <v>1.6616560625143681</v>
      </c>
      <c r="C12" s="27">
        <v>9.2462853358129973</v>
      </c>
      <c r="D12" s="26">
        <f t="shared" si="0"/>
        <v>0.1581942076000738</v>
      </c>
      <c r="E12" s="28">
        <v>0</v>
      </c>
    </row>
    <row r="13" spans="1:5" x14ac:dyDescent="0.5">
      <c r="A13" s="31">
        <v>355</v>
      </c>
      <c r="B13" s="24">
        <v>2.4727711798851342</v>
      </c>
      <c r="C13" s="27">
        <v>1.5382743361962354</v>
      </c>
      <c r="D13" s="26">
        <f t="shared" si="0"/>
        <v>-4.3749145594554166E-2</v>
      </c>
      <c r="E13" s="28">
        <v>0</v>
      </c>
    </row>
    <row r="14" spans="1:5" x14ac:dyDescent="0.5">
      <c r="A14" s="24">
        <v>373</v>
      </c>
      <c r="B14" s="24">
        <v>3.253054327875295</v>
      </c>
      <c r="C14" s="27">
        <v>13.679807573413573</v>
      </c>
      <c r="D14" s="26">
        <f t="shared" si="0"/>
        <v>0.13238032236125619</v>
      </c>
      <c r="E14" s="28">
        <v>0</v>
      </c>
    </row>
    <row r="15" spans="1:5" x14ac:dyDescent="0.5">
      <c r="A15" s="31">
        <v>388</v>
      </c>
      <c r="B15" s="24">
        <v>2.3968709221362041</v>
      </c>
      <c r="C15" s="27">
        <v>13.444214239671492</v>
      </c>
      <c r="D15" s="26">
        <f t="shared" si="0"/>
        <v>0.15892946923483961</v>
      </c>
      <c r="E15" s="28">
        <v>0</v>
      </c>
    </row>
    <row r="16" spans="1:5" x14ac:dyDescent="0.5">
      <c r="A16" s="24">
        <v>448</v>
      </c>
      <c r="B16" s="24">
        <v>2.7341791288266606</v>
      </c>
      <c r="C16" s="27">
        <v>3.9600183653877372</v>
      </c>
      <c r="D16" s="26">
        <f t="shared" si="0"/>
        <v>3.4139853259721312E-2</v>
      </c>
      <c r="E16" s="28">
        <v>40</v>
      </c>
    </row>
    <row r="17" spans="1:5" x14ac:dyDescent="0.5">
      <c r="A17" s="24">
        <v>458</v>
      </c>
      <c r="B17" s="24">
        <v>2.4767850945324059</v>
      </c>
      <c r="C17" s="27">
        <v>10.224106764150678</v>
      </c>
      <c r="D17" s="26">
        <f t="shared" si="0"/>
        <v>0.13067160863805449</v>
      </c>
      <c r="E17" s="28">
        <v>0</v>
      </c>
    </row>
    <row r="18" spans="1:5" x14ac:dyDescent="0.5">
      <c r="A18" s="24">
        <v>459</v>
      </c>
      <c r="B18" s="24">
        <v>3.0337847682451904</v>
      </c>
      <c r="C18" s="27">
        <v>9.620543391345949</v>
      </c>
      <c r="D18" s="26">
        <f t="shared" si="0"/>
        <v>0.1063677244416264</v>
      </c>
      <c r="E18" s="28">
        <v>0</v>
      </c>
    </row>
    <row r="19" spans="1:5" s="29" customFormat="1" x14ac:dyDescent="0.5">
      <c r="A19" s="32">
        <v>477</v>
      </c>
      <c r="B19" s="32">
        <v>3.2982543568211007</v>
      </c>
      <c r="C19" s="33">
        <v>6.7139088796678177</v>
      </c>
      <c r="D19" s="29">
        <f t="shared" si="0"/>
        <v>6.551041299951392E-2</v>
      </c>
      <c r="E19" s="34">
        <v>0</v>
      </c>
    </row>
    <row r="23" spans="1:5" x14ac:dyDescent="0.5">
      <c r="A23" s="26" t="s">
        <v>7</v>
      </c>
      <c r="B23" s="26">
        <v>45</v>
      </c>
    </row>
    <row r="24" spans="1:5" x14ac:dyDescent="0.5">
      <c r="A24" s="26" t="s">
        <v>8</v>
      </c>
      <c r="B24" s="26">
        <f>COUNT(A2:A20)</f>
        <v>18</v>
      </c>
    </row>
    <row r="25" spans="1:5" x14ac:dyDescent="0.5">
      <c r="A25" s="26" t="s">
        <v>9</v>
      </c>
      <c r="B25" s="26">
        <f>B24/B23*100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3BA3-4DCF-4E50-870C-51037EEA788D}">
  <dimension ref="A1:F23"/>
  <sheetViews>
    <sheetView workbookViewId="0">
      <pane ySplit="1" topLeftCell="A2" activePane="bottomLeft" state="frozen"/>
      <selection activeCell="D1" sqref="D1"/>
      <selection pane="bottomLeft" activeCell="E14" sqref="E14"/>
    </sheetView>
  </sheetViews>
  <sheetFormatPr defaultRowHeight="15.75" x14ac:dyDescent="0.5"/>
  <cols>
    <col min="1" max="1" width="16.125" customWidth="1"/>
    <col min="2" max="5" width="11.875" bestFit="1" customWidth="1"/>
    <col min="6" max="6" width="8.125" bestFit="1" customWidth="1"/>
  </cols>
  <sheetData>
    <row r="1" spans="1:6" s="7" customFormat="1" ht="16.149999999999999" thickBot="1" x14ac:dyDescent="0.55000000000000004">
      <c r="A1" s="10" t="s">
        <v>0</v>
      </c>
      <c r="B1" s="10" t="s">
        <v>2</v>
      </c>
      <c r="C1" s="10" t="s">
        <v>3</v>
      </c>
      <c r="D1" s="10" t="s">
        <v>1</v>
      </c>
      <c r="E1" s="10" t="s">
        <v>6</v>
      </c>
      <c r="F1" s="10"/>
    </row>
    <row r="2" spans="1:6" x14ac:dyDescent="0.5">
      <c r="A2" s="2">
        <v>231</v>
      </c>
      <c r="B2" s="2">
        <v>1.8439784740328271</v>
      </c>
      <c r="C2" s="12">
        <v>5.5193505720960285</v>
      </c>
      <c r="D2">
        <f t="shared" ref="D2:D17" si="0">(((LN(C2))-(LN(B2)))*100)/1085</f>
        <v>0.1010446775886472</v>
      </c>
      <c r="E2" s="4">
        <v>0</v>
      </c>
    </row>
    <row r="3" spans="1:6" x14ac:dyDescent="0.5">
      <c r="A3" s="2">
        <v>245</v>
      </c>
      <c r="B3" s="2">
        <v>2.0650293425469006</v>
      </c>
      <c r="C3" s="12">
        <v>4.6025820412579446</v>
      </c>
      <c r="D3">
        <f t="shared" si="0"/>
        <v>7.3868481433801536E-2</v>
      </c>
      <c r="E3" s="4">
        <v>0</v>
      </c>
    </row>
    <row r="4" spans="1:6" x14ac:dyDescent="0.5">
      <c r="A4" s="2">
        <v>274</v>
      </c>
      <c r="B4" s="2">
        <v>2.4261039363894148</v>
      </c>
      <c r="C4" s="12">
        <v>5.2571964800656099</v>
      </c>
      <c r="D4">
        <f t="shared" si="0"/>
        <v>7.1272925693660824E-2</v>
      </c>
      <c r="E4" s="4">
        <v>0</v>
      </c>
    </row>
    <row r="5" spans="1:6" x14ac:dyDescent="0.5">
      <c r="A5" s="2">
        <v>301</v>
      </c>
      <c r="B5" s="2">
        <v>2.0996220030158104</v>
      </c>
      <c r="C5" s="12">
        <v>4.7874236751779273</v>
      </c>
      <c r="D5">
        <f t="shared" si="0"/>
        <v>7.5966366994867043E-2</v>
      </c>
      <c r="E5" s="4">
        <v>0</v>
      </c>
    </row>
    <row r="6" spans="1:6" x14ac:dyDescent="0.5">
      <c r="A6" s="2">
        <v>334</v>
      </c>
      <c r="B6" s="2">
        <v>2.9507227952155901</v>
      </c>
      <c r="C6" s="12">
        <v>4.2451964182194457</v>
      </c>
      <c r="D6">
        <f t="shared" si="0"/>
        <v>3.3524233503472133E-2</v>
      </c>
      <c r="E6" s="4">
        <v>50</v>
      </c>
    </row>
    <row r="7" spans="1:6" x14ac:dyDescent="0.5">
      <c r="A7" s="2">
        <v>359</v>
      </c>
      <c r="B7" s="2">
        <v>2.7569959613848516</v>
      </c>
      <c r="C7" s="12">
        <v>6.4804541037251377</v>
      </c>
      <c r="D7">
        <f t="shared" si="0"/>
        <v>7.8769485572555142E-2</v>
      </c>
      <c r="E7" s="4">
        <v>0</v>
      </c>
    </row>
    <row r="8" spans="1:6" x14ac:dyDescent="0.5">
      <c r="A8" s="2">
        <v>365</v>
      </c>
      <c r="B8" s="2">
        <v>2.1994488977725335</v>
      </c>
      <c r="C8" s="12">
        <v>0.60310886378835871</v>
      </c>
      <c r="D8">
        <f t="shared" si="0"/>
        <v>-0.1192501741528573</v>
      </c>
      <c r="E8" s="4">
        <v>0</v>
      </c>
      <c r="F8" s="4"/>
    </row>
    <row r="9" spans="1:6" x14ac:dyDescent="0.5">
      <c r="A9" s="2">
        <v>372</v>
      </c>
      <c r="B9" s="2">
        <v>2.557647170921066</v>
      </c>
      <c r="C9" s="12">
        <v>4.3758991349281189</v>
      </c>
      <c r="D9">
        <f t="shared" si="0"/>
        <v>4.9495322877766534E-2</v>
      </c>
      <c r="E9" s="4">
        <v>5</v>
      </c>
      <c r="F9" s="2"/>
    </row>
    <row r="10" spans="1:6" x14ac:dyDescent="0.5">
      <c r="A10" s="2">
        <v>429</v>
      </c>
      <c r="B10" s="2">
        <v>2.7208209657822673</v>
      </c>
      <c r="C10" s="12">
        <v>4.6689193347648708</v>
      </c>
      <c r="D10">
        <f t="shared" si="0"/>
        <v>4.9769030290088515E-2</v>
      </c>
      <c r="E10" s="4">
        <v>5</v>
      </c>
    </row>
    <row r="11" spans="1:6" x14ac:dyDescent="0.5">
      <c r="A11" s="3">
        <v>439</v>
      </c>
      <c r="B11" s="2">
        <v>2.6670902105031975</v>
      </c>
      <c r="C11" s="12">
        <v>4.74011981395231</v>
      </c>
      <c r="D11">
        <f t="shared" si="0"/>
        <v>5.3002243617899139E-2</v>
      </c>
      <c r="E11" s="4">
        <v>5</v>
      </c>
    </row>
    <row r="12" spans="1:6" x14ac:dyDescent="0.5">
      <c r="A12" s="2">
        <v>442</v>
      </c>
      <c r="B12" s="2">
        <v>2.2239800905693157</v>
      </c>
      <c r="C12" s="12">
        <v>5.2065806724989381</v>
      </c>
      <c r="D12">
        <f t="shared" si="0"/>
        <v>7.839860969359784E-2</v>
      </c>
      <c r="E12" s="4">
        <v>5</v>
      </c>
    </row>
    <row r="13" spans="1:6" x14ac:dyDescent="0.5">
      <c r="A13" s="2">
        <v>455</v>
      </c>
      <c r="B13" s="2">
        <v>1.9626397861131539</v>
      </c>
      <c r="C13" s="12">
        <v>4.0522722604436821</v>
      </c>
      <c r="D13">
        <f t="shared" si="0"/>
        <v>6.6819113273600267E-2</v>
      </c>
      <c r="E13" s="4">
        <v>0</v>
      </c>
    </row>
    <row r="14" spans="1:6" x14ac:dyDescent="0.5">
      <c r="A14" s="2">
        <v>475</v>
      </c>
      <c r="B14" s="2">
        <v>2.4296453274973144</v>
      </c>
      <c r="C14" s="12">
        <v>5.1057988634460916</v>
      </c>
      <c r="D14">
        <f t="shared" si="0"/>
        <v>6.8445311973246187E-2</v>
      </c>
      <c r="E14" s="4">
        <v>0</v>
      </c>
    </row>
    <row r="15" spans="1:6" x14ac:dyDescent="0.5">
      <c r="A15" s="2">
        <v>476</v>
      </c>
      <c r="B15" s="2">
        <v>2.5318979441706317</v>
      </c>
      <c r="C15" s="12">
        <v>4.7477403841622019</v>
      </c>
      <c r="D15">
        <f t="shared" si="0"/>
        <v>5.7944663521104646E-2</v>
      </c>
      <c r="E15" s="4">
        <v>0</v>
      </c>
    </row>
    <row r="16" spans="1:6" s="20" customFormat="1" x14ac:dyDescent="0.5">
      <c r="A16" s="21">
        <v>478</v>
      </c>
      <c r="B16" s="21">
        <v>2.9974979137683166</v>
      </c>
      <c r="C16" s="22">
        <v>5.8467437499597494</v>
      </c>
      <c r="D16" s="20">
        <f t="shared" si="0"/>
        <v>6.1576679299899476E-2</v>
      </c>
      <c r="E16" s="23">
        <v>0</v>
      </c>
    </row>
    <row r="17" spans="1:5" x14ac:dyDescent="0.5">
      <c r="A17" s="2">
        <v>474</v>
      </c>
      <c r="B17">
        <v>2.1766469227934024</v>
      </c>
      <c r="C17" s="12">
        <v>2.5536727800696606</v>
      </c>
      <c r="D17">
        <f t="shared" si="0"/>
        <v>1.4723229949069482E-2</v>
      </c>
      <c r="E17" s="4">
        <v>95</v>
      </c>
    </row>
    <row r="21" spans="1:5" x14ac:dyDescent="0.5">
      <c r="A21" t="s">
        <v>7</v>
      </c>
      <c r="B21">
        <v>42</v>
      </c>
    </row>
    <row r="22" spans="1:5" x14ac:dyDescent="0.5">
      <c r="A22" t="s">
        <v>8</v>
      </c>
      <c r="B22">
        <f>COUNT(D2:D16)</f>
        <v>15</v>
      </c>
    </row>
    <row r="23" spans="1:5" x14ac:dyDescent="0.5">
      <c r="A23" t="s">
        <v>9</v>
      </c>
      <c r="B23">
        <f>B22/B21*100</f>
        <v>35.714285714285715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Key_read me</vt:lpstr>
      <vt:lpstr>A. florida</vt:lpstr>
      <vt:lpstr>A. hoeksemai</vt:lpstr>
      <vt:lpstr>A. muricata</vt:lpstr>
      <vt:lpstr>E. horrida</vt:lpstr>
      <vt:lpstr>H. rigida</vt:lpstr>
      <vt:lpstr>P. cylindrica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Sebastian Szereday</cp:lastModifiedBy>
  <dcterms:created xsi:type="dcterms:W3CDTF">2021-09-08T00:11:03Z</dcterms:created>
  <dcterms:modified xsi:type="dcterms:W3CDTF">2025-11-05T16:47:16Z</dcterms:modified>
</cp:coreProperties>
</file>