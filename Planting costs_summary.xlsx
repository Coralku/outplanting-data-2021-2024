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sz\Desktop\Coralku\Research Projects\4. RRE_Outplants\1. Manuscript and analysis\0. Submission\2. final submission\Github\"/>
    </mc:Choice>
  </mc:AlternateContent>
  <xr:revisionPtr revIDLastSave="0" documentId="13_ncr:1_{6B2E7269-F53B-4970-8D29-99FB57D4D127}" xr6:coauthVersionLast="47" xr6:coauthVersionMax="47" xr10:uidLastSave="{00000000-0000-0000-0000-000000000000}"/>
  <bookViews>
    <workbookView xWindow="-98" yWindow="-98" windowWidth="21795" windowHeight="12975" xr2:uid="{11AD8248-2875-4519-80FD-002D6117C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D30" i="1"/>
  <c r="G30" i="1"/>
  <c r="G33" i="1"/>
  <c r="D17" i="1"/>
  <c r="B17" i="1" s="1"/>
  <c r="C18" i="1"/>
  <c r="D18" i="1" s="1"/>
  <c r="G32" i="1"/>
  <c r="B18" i="1" l="1"/>
  <c r="D5" i="1"/>
  <c r="B20" i="1" l="1"/>
  <c r="G31" i="1"/>
  <c r="G34" i="1"/>
  <c r="G35" i="1"/>
  <c r="D31" i="1"/>
  <c r="D32" i="1"/>
  <c r="D33" i="1"/>
  <c r="D34" i="1"/>
  <c r="D35" i="1"/>
  <c r="B21" i="1"/>
  <c r="D11" i="1"/>
  <c r="E10" i="1"/>
  <c r="F10" i="1" s="1"/>
  <c r="D10" i="1"/>
  <c r="F8" i="1"/>
  <c r="C8" i="1"/>
  <c r="E8" i="1" s="1"/>
  <c r="E4" i="1"/>
  <c r="E6" i="1" s="1"/>
  <c r="D4" i="1"/>
  <c r="B22" i="1" l="1"/>
  <c r="E35" i="1"/>
  <c r="E31" i="1"/>
  <c r="E32" i="1"/>
  <c r="E33" i="1"/>
  <c r="E34" i="1"/>
  <c r="E30" i="1"/>
  <c r="B23" i="1"/>
  <c r="F33" i="1"/>
  <c r="E13" i="1"/>
  <c r="C30" i="1"/>
  <c r="H30" i="1" s="1"/>
  <c r="F32" i="1"/>
  <c r="F35" i="1"/>
  <c r="F31" i="1"/>
  <c r="F34" i="1"/>
  <c r="F6" i="1"/>
  <c r="F13" i="1" s="1"/>
  <c r="F4" i="1"/>
  <c r="B24" i="1" l="1"/>
  <c r="B25" i="1" s="1"/>
  <c r="C31" i="1"/>
  <c r="C32" i="1"/>
  <c r="C33" i="1"/>
  <c r="C34" i="1"/>
  <c r="C35" i="1"/>
  <c r="P34" i="1" l="1"/>
  <c r="M34" i="1"/>
  <c r="N34" i="1"/>
  <c r="H34" i="1"/>
  <c r="O34" i="1"/>
  <c r="M33" i="1"/>
  <c r="P33" i="1"/>
  <c r="N33" i="1"/>
  <c r="H33" i="1"/>
  <c r="O33" i="1"/>
  <c r="M32" i="1"/>
  <c r="P32" i="1"/>
  <c r="N32" i="1"/>
  <c r="H32" i="1"/>
  <c r="O32" i="1"/>
  <c r="M31" i="1"/>
  <c r="P31" i="1"/>
  <c r="N31" i="1"/>
  <c r="H31" i="1"/>
  <c r="O31" i="1"/>
  <c r="P30" i="1"/>
  <c r="R30" i="1" s="1"/>
  <c r="M30" i="1"/>
  <c r="N30" i="1"/>
  <c r="O30" i="1"/>
  <c r="P35" i="1"/>
  <c r="M35" i="1"/>
  <c r="O35" i="1"/>
  <c r="N35" i="1"/>
  <c r="H35" i="1"/>
  <c r="R31" i="1" l="1"/>
  <c r="R32" i="1"/>
  <c r="R33" i="1"/>
  <c r="R35" i="1"/>
  <c r="R34" i="1"/>
</calcChain>
</file>

<file path=xl/sharedStrings.xml><?xml version="1.0" encoding="utf-8"?>
<sst xmlns="http://schemas.openxmlformats.org/spreadsheetml/2006/main" count="60" uniqueCount="50">
  <si>
    <t>S</t>
  </si>
  <si>
    <t>D</t>
  </si>
  <si>
    <t>n(D)</t>
  </si>
  <si>
    <t>Number of Dives</t>
  </si>
  <si>
    <t>FTE</t>
  </si>
  <si>
    <t>C</t>
  </si>
  <si>
    <t>Cost per clip</t>
  </si>
  <si>
    <t>nF</t>
  </si>
  <si>
    <t>Total number of fragments planted</t>
  </si>
  <si>
    <t>V</t>
  </si>
  <si>
    <t>Vessel use</t>
  </si>
  <si>
    <t>P</t>
  </si>
  <si>
    <t>Captial cost planting equipm</t>
  </si>
  <si>
    <t>PC</t>
  </si>
  <si>
    <t>(S*FTE)+D</t>
  </si>
  <si>
    <t>$C*nF</t>
  </si>
  <si>
    <t>Sum</t>
  </si>
  <si>
    <t>Sum/nF</t>
  </si>
  <si>
    <t>*n(D)</t>
  </si>
  <si>
    <t>S*FTE</t>
  </si>
  <si>
    <t>USD</t>
  </si>
  <si>
    <t>sum</t>
  </si>
  <si>
    <t>Af</t>
  </si>
  <si>
    <t>Ah</t>
  </si>
  <si>
    <t>Am</t>
  </si>
  <si>
    <t>Eh</t>
  </si>
  <si>
    <t>Hr</t>
  </si>
  <si>
    <t>Pc</t>
  </si>
  <si>
    <t>($S+D)*n(D)</t>
  </si>
  <si>
    <t>PC (Sum/n)F</t>
  </si>
  <si>
    <t>Diving cost / day / diver</t>
  </si>
  <si>
    <t>%increase</t>
  </si>
  <si>
    <t>MYR</t>
  </si>
  <si>
    <t>Survival %</t>
  </si>
  <si>
    <t>Day 150</t>
  </si>
  <si>
    <t>Day 518</t>
  </si>
  <si>
    <t>Day 744</t>
  </si>
  <si>
    <t>Day 1085</t>
  </si>
  <si>
    <t>Number of coral propagules</t>
  </si>
  <si>
    <t>Species</t>
  </si>
  <si>
    <t xml:space="preserve"> </t>
  </si>
  <si>
    <t>Total MYR</t>
  </si>
  <si>
    <t>Realized Planting Cost (PCR)</t>
  </si>
  <si>
    <t>%-relative cost allocation / species</t>
  </si>
  <si>
    <t>Full time equivalent (5)</t>
  </si>
  <si>
    <t>Daily Wage (4 days total)</t>
  </si>
  <si>
    <t>P / species</t>
  </si>
  <si>
    <t>V / species</t>
  </si>
  <si>
    <t>C / species</t>
  </si>
  <si>
    <t>MYR - Malaysian Ringgit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</si>
</sst>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2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7" xfId="0" applyNumberFormat="1" applyBorder="1"/>
    <xf numFmtId="2" fontId="0" fillId="0" borderId="6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/>
    <xf numFmtId="2" fontId="0" fillId="0" borderId="3" xfId="0" applyNumberFormat="1" applyBorder="1"/>
    <xf numFmtId="0" fontId="0" fillId="0" borderId="10" xfId="0" applyBorder="1"/>
    <xf numFmtId="0" fontId="0" fillId="0" borderId="11" xfId="0" applyBorder="1"/>
    <xf numFmtId="2" fontId="0" fillId="0" borderId="5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3" xfId="0" applyFont="1" applyBorder="1"/>
    <xf numFmtId="0" fontId="1" fillId="0" borderId="5" xfId="0" applyFont="1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Font="1"/>
    <xf numFmtId="164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84B1-B47F-471E-8383-A6564FA784E6}">
  <dimension ref="A1:R35"/>
  <sheetViews>
    <sheetView tabSelected="1" workbookViewId="0">
      <selection activeCell="D44" sqref="D44"/>
    </sheetView>
  </sheetViews>
  <sheetFormatPr defaultRowHeight="14.25" x14ac:dyDescent="0.45"/>
  <cols>
    <col min="1" max="1" width="9.9296875" bestFit="1" customWidth="1"/>
    <col min="2" max="2" width="27.59765625" bestFit="1" customWidth="1"/>
    <col min="3" max="3" width="10.46484375" bestFit="1" customWidth="1"/>
    <col min="4" max="4" width="11.19921875" bestFit="1" customWidth="1"/>
    <col min="7" max="7" width="19.6640625" bestFit="1" customWidth="1"/>
    <col min="8" max="8" width="10.53125" bestFit="1" customWidth="1"/>
  </cols>
  <sheetData>
    <row r="1" spans="1:6" x14ac:dyDescent="0.45">
      <c r="B1" t="s">
        <v>49</v>
      </c>
    </row>
    <row r="3" spans="1:6" x14ac:dyDescent="0.45">
      <c r="A3" s="1"/>
      <c r="B3" s="2"/>
      <c r="C3" s="2" t="s">
        <v>32</v>
      </c>
      <c r="D3" s="2" t="s">
        <v>20</v>
      </c>
      <c r="E3" s="2" t="s">
        <v>32</v>
      </c>
      <c r="F3" s="2" t="s">
        <v>20</v>
      </c>
    </row>
    <row r="4" spans="1:6" x14ac:dyDescent="0.45">
      <c r="A4" s="3" t="s">
        <v>0</v>
      </c>
      <c r="B4" t="s">
        <v>45</v>
      </c>
      <c r="C4">
        <v>200</v>
      </c>
      <c r="D4" s="4">
        <f>C4/4.2</f>
        <v>47.61904761904762</v>
      </c>
      <c r="E4">
        <f>C4+C5</f>
        <v>325</v>
      </c>
      <c r="F4" s="5">
        <f>E4/4.2</f>
        <v>77.38095238095238</v>
      </c>
    </row>
    <row r="5" spans="1:6" x14ac:dyDescent="0.45">
      <c r="A5" s="3" t="s">
        <v>1</v>
      </c>
      <c r="B5" t="s">
        <v>30</v>
      </c>
      <c r="C5">
        <v>125</v>
      </c>
      <c r="D5" s="4">
        <f>C5/4.2</f>
        <v>29.761904761904759</v>
      </c>
      <c r="F5" s="6"/>
    </row>
    <row r="6" spans="1:6" x14ac:dyDescent="0.45">
      <c r="A6" s="3" t="s">
        <v>2</v>
      </c>
      <c r="B6" t="s">
        <v>3</v>
      </c>
      <c r="C6">
        <v>30</v>
      </c>
      <c r="D6" s="4"/>
      <c r="E6">
        <f>E4*C6</f>
        <v>9750</v>
      </c>
      <c r="F6" s="6">
        <f>E6/4.2</f>
        <v>2321.4285714285711</v>
      </c>
    </row>
    <row r="7" spans="1:6" x14ac:dyDescent="0.45">
      <c r="A7" s="3" t="s">
        <v>4</v>
      </c>
      <c r="B7" t="s">
        <v>44</v>
      </c>
      <c r="C7">
        <v>100</v>
      </c>
      <c r="D7" s="4"/>
      <c r="F7" s="6"/>
    </row>
    <row r="8" spans="1:6" x14ac:dyDescent="0.45">
      <c r="A8" s="3" t="s">
        <v>5</v>
      </c>
      <c r="B8" t="s">
        <v>6</v>
      </c>
      <c r="C8">
        <f>4.2*0.21</f>
        <v>0.88200000000000001</v>
      </c>
      <c r="D8" s="4">
        <v>0.21</v>
      </c>
      <c r="E8">
        <f>C8*C9</f>
        <v>220.5</v>
      </c>
      <c r="F8" s="6">
        <f>D8*C9</f>
        <v>52.5</v>
      </c>
    </row>
    <row r="9" spans="1:6" x14ac:dyDescent="0.45">
      <c r="A9" s="3" t="s">
        <v>7</v>
      </c>
      <c r="B9" t="s">
        <v>8</v>
      </c>
      <c r="C9">
        <v>250</v>
      </c>
      <c r="D9" s="4"/>
      <c r="F9" s="6"/>
    </row>
    <row r="10" spans="1:6" x14ac:dyDescent="0.45">
      <c r="A10" s="3" t="s">
        <v>9</v>
      </c>
      <c r="B10" t="s">
        <v>10</v>
      </c>
      <c r="C10">
        <v>1600</v>
      </c>
      <c r="D10" s="4">
        <f>C10/4.2</f>
        <v>380.95238095238096</v>
      </c>
      <c r="E10">
        <f>C10+C11</f>
        <v>1933</v>
      </c>
      <c r="F10" s="6">
        <f>E10/4.2</f>
        <v>460.23809523809524</v>
      </c>
    </row>
    <row r="11" spans="1:6" x14ac:dyDescent="0.45">
      <c r="A11" s="3" t="s">
        <v>11</v>
      </c>
      <c r="B11" t="s">
        <v>12</v>
      </c>
      <c r="C11">
        <v>333</v>
      </c>
      <c r="D11" s="4">
        <f>C11/4.2</f>
        <v>79.285714285714278</v>
      </c>
      <c r="F11" s="6"/>
    </row>
    <row r="12" spans="1:6" x14ac:dyDescent="0.45">
      <c r="A12" s="3"/>
      <c r="F12" s="6"/>
    </row>
    <row r="13" spans="1:6" x14ac:dyDescent="0.45">
      <c r="A13" s="7"/>
      <c r="B13" s="8"/>
      <c r="C13" s="8"/>
      <c r="D13" s="8" t="s">
        <v>13</v>
      </c>
      <c r="E13" s="8">
        <f>(E6+E8+E10)/C9</f>
        <v>47.613999999999997</v>
      </c>
      <c r="F13" s="10">
        <f>(F6+F8+F10)/250</f>
        <v>11.336666666666666</v>
      </c>
    </row>
    <row r="14" spans="1:6" x14ac:dyDescent="0.45">
      <c r="A14" s="3"/>
    </row>
    <row r="15" spans="1:6" x14ac:dyDescent="0.45">
      <c r="A15" s="3"/>
    </row>
    <row r="16" spans="1:6" x14ac:dyDescent="0.45">
      <c r="A16" s="29" t="s">
        <v>40</v>
      </c>
      <c r="B16" s="14" t="s">
        <v>13</v>
      </c>
      <c r="C16" s="14" t="s">
        <v>41</v>
      </c>
      <c r="D16" s="14" t="s">
        <v>20</v>
      </c>
    </row>
    <row r="17" spans="1:18" x14ac:dyDescent="0.45">
      <c r="A17" t="s">
        <v>19</v>
      </c>
      <c r="B17" s="4">
        <f>D17</f>
        <v>380.95238095238096</v>
      </c>
      <c r="C17">
        <v>1600</v>
      </c>
      <c r="D17" s="4">
        <f>C17/4.2</f>
        <v>380.95238095238096</v>
      </c>
    </row>
    <row r="18" spans="1:18" x14ac:dyDescent="0.45">
      <c r="A18" t="s">
        <v>14</v>
      </c>
      <c r="B18" s="4">
        <f>D17+D18</f>
        <v>619.04761904761904</v>
      </c>
      <c r="C18">
        <f>((5*25)*2)*4</f>
        <v>1000</v>
      </c>
      <c r="D18" s="4">
        <f>C18/4.2</f>
        <v>238.09523809523807</v>
      </c>
    </row>
    <row r="19" spans="1:18" x14ac:dyDescent="0.45">
      <c r="A19" t="s">
        <v>18</v>
      </c>
      <c r="B19" s="4">
        <v>0</v>
      </c>
      <c r="C19">
        <v>30</v>
      </c>
    </row>
    <row r="20" spans="1:18" x14ac:dyDescent="0.45">
      <c r="A20" t="s">
        <v>21</v>
      </c>
      <c r="B20" s="4">
        <f>SUM(B17:B19)</f>
        <v>1000</v>
      </c>
    </row>
    <row r="21" spans="1:18" x14ac:dyDescent="0.45">
      <c r="A21" t="s">
        <v>15</v>
      </c>
      <c r="B21" s="4">
        <f>0.21*250</f>
        <v>52.5</v>
      </c>
    </row>
    <row r="22" spans="1:18" x14ac:dyDescent="0.45">
      <c r="A22" t="s">
        <v>9</v>
      </c>
      <c r="B22" s="4">
        <f>D10</f>
        <v>380.95238095238096</v>
      </c>
    </row>
    <row r="23" spans="1:18" x14ac:dyDescent="0.45">
      <c r="A23" t="s">
        <v>11</v>
      </c>
      <c r="B23" s="4">
        <f>D11</f>
        <v>79.285714285714278</v>
      </c>
    </row>
    <row r="24" spans="1:18" ht="14.65" thickBot="1" x14ac:dyDescent="0.5">
      <c r="A24" s="9" t="s">
        <v>16</v>
      </c>
      <c r="B24" s="11">
        <f>SUM(B21:B23)</f>
        <v>512.73809523809518</v>
      </c>
    </row>
    <row r="25" spans="1:18" ht="14.65" thickTop="1" x14ac:dyDescent="0.45">
      <c r="A25" t="s">
        <v>17</v>
      </c>
      <c r="B25" s="4">
        <f>(B24+B20)/250</f>
        <v>6.0509523809523804</v>
      </c>
    </row>
    <row r="26" spans="1:18" x14ac:dyDescent="0.45">
      <c r="B26" s="4"/>
    </row>
    <row r="27" spans="1:18" x14ac:dyDescent="0.45">
      <c r="B27" s="4"/>
    </row>
    <row r="28" spans="1:18" ht="14.65" thickBot="1" x14ac:dyDescent="0.5">
      <c r="I28" s="30" t="s">
        <v>33</v>
      </c>
      <c r="J28" s="30"/>
      <c r="K28" s="30"/>
      <c r="L28" s="30"/>
      <c r="M28" s="30" t="s">
        <v>42</v>
      </c>
      <c r="N28" s="30"/>
      <c r="O28" s="30"/>
      <c r="P28" s="30"/>
    </row>
    <row r="29" spans="1:18" ht="14.65" thickBot="1" x14ac:dyDescent="0.5">
      <c r="A29" s="23" t="s">
        <v>39</v>
      </c>
      <c r="B29" s="24" t="s">
        <v>38</v>
      </c>
      <c r="C29" s="25" t="s">
        <v>28</v>
      </c>
      <c r="D29" s="25" t="s">
        <v>48</v>
      </c>
      <c r="E29" s="25" t="s">
        <v>47</v>
      </c>
      <c r="F29" s="25" t="s">
        <v>46</v>
      </c>
      <c r="G29" s="25" t="s">
        <v>43</v>
      </c>
      <c r="H29" s="26" t="s">
        <v>29</v>
      </c>
      <c r="I29" s="17" t="s">
        <v>34</v>
      </c>
      <c r="J29" s="18" t="s">
        <v>35</v>
      </c>
      <c r="K29" s="18" t="s">
        <v>36</v>
      </c>
      <c r="L29" s="18" t="s">
        <v>37</v>
      </c>
      <c r="M29" s="17" t="s">
        <v>34</v>
      </c>
      <c r="N29" s="18" t="s">
        <v>35</v>
      </c>
      <c r="O29" s="18" t="s">
        <v>36</v>
      </c>
      <c r="P29" s="18" t="s">
        <v>37</v>
      </c>
      <c r="R29" s="20" t="s">
        <v>31</v>
      </c>
    </row>
    <row r="30" spans="1:18" x14ac:dyDescent="0.45">
      <c r="A30" s="27" t="s">
        <v>22</v>
      </c>
      <c r="B30" s="13">
        <v>44</v>
      </c>
      <c r="C30" s="4">
        <f>$B$20/6</f>
        <v>166.66666666666666</v>
      </c>
      <c r="D30" s="4">
        <f>B30*$D$8</f>
        <v>9.24</v>
      </c>
      <c r="E30" s="4">
        <f>$D$10/6</f>
        <v>63.492063492063494</v>
      </c>
      <c r="F30" s="4">
        <f>$D$11*G30</f>
        <v>13.954285714285712</v>
      </c>
      <c r="G30" s="4">
        <f>B30/250</f>
        <v>0.17599999999999999</v>
      </c>
      <c r="H30" s="5">
        <f>(C30+SUM(D30:F30))/B30</f>
        <v>5.758023088023088</v>
      </c>
      <c r="I30">
        <v>0.72699999999999998</v>
      </c>
      <c r="J30">
        <v>0.56799999999999995</v>
      </c>
      <c r="K30">
        <v>0.56799999999999995</v>
      </c>
      <c r="L30" s="31">
        <v>0.47727272727272729</v>
      </c>
      <c r="M30" s="16">
        <f>(C30+SUM(D30:F30))/(B30*I30)</f>
        <v>7.9202518404719227</v>
      </c>
      <c r="N30" s="4">
        <f>(C30+SUM(D30:F30))/(B30*J30)</f>
        <v>10.137364591589945</v>
      </c>
      <c r="O30" s="4">
        <f>(C30+SUM(D30:F30))/(B30*K30)</f>
        <v>10.137364591589945</v>
      </c>
      <c r="P30" s="4">
        <f>(C30+SUM(D30:F30))/(B30*L30)</f>
        <v>12.06442932728647</v>
      </c>
      <c r="R30" s="21">
        <f>((P30-H30)/H30)*100</f>
        <v>109.52380952380953</v>
      </c>
    </row>
    <row r="31" spans="1:18" x14ac:dyDescent="0.45">
      <c r="A31" s="27" t="s">
        <v>23</v>
      </c>
      <c r="B31" s="13">
        <v>44</v>
      </c>
      <c r="C31" s="4">
        <f t="shared" ref="C31:C35" si="0">$B$20/6</f>
        <v>166.66666666666666</v>
      </c>
      <c r="D31" s="4">
        <f t="shared" ref="D31:D35" si="1">B31*$D$8</f>
        <v>9.24</v>
      </c>
      <c r="E31" s="4">
        <f t="shared" ref="E31:E34" si="2">$D$10/6</f>
        <v>63.492063492063494</v>
      </c>
      <c r="F31" s="4">
        <f t="shared" ref="F31:F35" si="3">$D$11*G31</f>
        <v>13.954285714285712</v>
      </c>
      <c r="G31" s="4">
        <f t="shared" ref="G31:G35" si="4">B31/250</f>
        <v>0.17599999999999999</v>
      </c>
      <c r="H31" s="5">
        <f t="shared" ref="H31:H35" si="5">(C31+SUM(D31:F31))/B31</f>
        <v>5.758023088023088</v>
      </c>
      <c r="I31">
        <v>0.56799999999999995</v>
      </c>
      <c r="J31">
        <v>0.22700000000000001</v>
      </c>
      <c r="K31">
        <v>0.159</v>
      </c>
      <c r="L31" s="31">
        <v>0.11363636363636363</v>
      </c>
      <c r="M31" s="16">
        <f t="shared" ref="M31:M35" si="6">(C31+SUM(D31:F31))/(B31*I31)</f>
        <v>10.137364591589945</v>
      </c>
      <c r="N31" s="4">
        <f>(C31+SUM(D31:F31))/(B31*J31)</f>
        <v>25.365740475872634</v>
      </c>
      <c r="O31" s="4">
        <f t="shared" ref="O31:O34" si="7">(C31+SUM(D31:F31))/(B31*K31)</f>
        <v>36.213981685679798</v>
      </c>
      <c r="P31" s="4">
        <f t="shared" ref="P31:P35" si="8">(C31+SUM(D31:F31))/(B31*L31)</f>
        <v>50.670603174603173</v>
      </c>
      <c r="R31" s="21">
        <f t="shared" ref="R31:R35" si="9">((P31-H31)/H31)*100</f>
        <v>780</v>
      </c>
    </row>
    <row r="32" spans="1:18" x14ac:dyDescent="0.45">
      <c r="A32" s="27" t="s">
        <v>24</v>
      </c>
      <c r="B32" s="13">
        <v>34</v>
      </c>
      <c r="C32" s="4">
        <f t="shared" si="0"/>
        <v>166.66666666666666</v>
      </c>
      <c r="D32" s="4">
        <f t="shared" si="1"/>
        <v>7.14</v>
      </c>
      <c r="E32" s="4">
        <f t="shared" si="2"/>
        <v>63.492063492063494</v>
      </c>
      <c r="F32" s="4">
        <f t="shared" si="3"/>
        <v>10.782857142857143</v>
      </c>
      <c r="G32" s="4">
        <f>B32/250</f>
        <v>0.13600000000000001</v>
      </c>
      <c r="H32" s="5">
        <f t="shared" si="5"/>
        <v>7.2965172735760966</v>
      </c>
      <c r="I32">
        <v>0.35299999999999998</v>
      </c>
      <c r="J32">
        <v>0.14699999999999999</v>
      </c>
      <c r="K32">
        <v>8.7999999999999995E-2</v>
      </c>
      <c r="L32" s="31">
        <v>2.9411764705882349E-2</v>
      </c>
      <c r="M32" s="16">
        <f t="shared" si="6"/>
        <v>20.670020605031439</v>
      </c>
      <c r="N32" s="4">
        <f t="shared" ref="N32:N35" si="10">(C32+SUM(D32:F32))/(B32*J32)</f>
        <v>49.636171929089102</v>
      </c>
      <c r="O32" s="4">
        <f t="shared" si="7"/>
        <v>82.914969017910195</v>
      </c>
      <c r="P32" s="4">
        <f t="shared" si="8"/>
        <v>248.08158730158732</v>
      </c>
      <c r="R32" s="21">
        <f t="shared" si="9"/>
        <v>3300.0000000000009</v>
      </c>
    </row>
    <row r="33" spans="1:18" x14ac:dyDescent="0.45">
      <c r="A33" s="27" t="s">
        <v>25</v>
      </c>
      <c r="B33" s="13">
        <v>41</v>
      </c>
      <c r="C33" s="4">
        <f t="shared" si="0"/>
        <v>166.66666666666666</v>
      </c>
      <c r="D33" s="4">
        <f t="shared" si="1"/>
        <v>8.61</v>
      </c>
      <c r="E33" s="4">
        <f t="shared" si="2"/>
        <v>63.492063492063494</v>
      </c>
      <c r="F33" s="4">
        <f>$D$11*G33</f>
        <v>13.002857142857142</v>
      </c>
      <c r="G33" s="4">
        <f>B33/250</f>
        <v>0.16400000000000001</v>
      </c>
      <c r="H33" s="5">
        <f t="shared" si="5"/>
        <v>6.1407704219899335</v>
      </c>
      <c r="I33">
        <v>0.75600000000000001</v>
      </c>
      <c r="J33">
        <v>0.63400000000000001</v>
      </c>
      <c r="K33">
        <v>0.48799999999999999</v>
      </c>
      <c r="L33" s="31">
        <v>0.31707317073170732</v>
      </c>
      <c r="M33" s="16">
        <f t="shared" si="6"/>
        <v>8.122712198399384</v>
      </c>
      <c r="N33" s="4">
        <f t="shared" si="10"/>
        <v>9.685757763391063</v>
      </c>
      <c r="O33" s="4">
        <f t="shared" si="7"/>
        <v>12.583545946700685</v>
      </c>
      <c r="P33" s="4">
        <f t="shared" si="8"/>
        <v>19.367045177045178</v>
      </c>
      <c r="R33" s="21">
        <f t="shared" si="9"/>
        <v>215.38461538461542</v>
      </c>
    </row>
    <row r="34" spans="1:18" x14ac:dyDescent="0.45">
      <c r="A34" s="27" t="s">
        <v>26</v>
      </c>
      <c r="B34" s="13">
        <v>45</v>
      </c>
      <c r="C34" s="4">
        <f t="shared" si="0"/>
        <v>166.66666666666666</v>
      </c>
      <c r="D34" s="4">
        <f t="shared" si="1"/>
        <v>9.4499999999999993</v>
      </c>
      <c r="E34" s="4">
        <f t="shared" si="2"/>
        <v>63.492063492063494</v>
      </c>
      <c r="F34" s="4">
        <f t="shared" si="3"/>
        <v>14.271428571428569</v>
      </c>
      <c r="G34" s="4">
        <f t="shared" si="4"/>
        <v>0.18</v>
      </c>
      <c r="H34" s="5">
        <f t="shared" si="5"/>
        <v>5.6417813051146384</v>
      </c>
      <c r="I34">
        <v>0.91100000000000003</v>
      </c>
      <c r="J34">
        <v>0.53300000000000003</v>
      </c>
      <c r="K34">
        <v>0.42199999999999999</v>
      </c>
      <c r="L34" s="31">
        <v>0.4</v>
      </c>
      <c r="M34" s="16">
        <f t="shared" si="6"/>
        <v>6.1929542317394484</v>
      </c>
      <c r="N34" s="4">
        <f t="shared" si="10"/>
        <v>10.584955544305135</v>
      </c>
      <c r="O34" s="4">
        <f t="shared" si="7"/>
        <v>13.369150012119997</v>
      </c>
      <c r="P34" s="4">
        <f t="shared" si="8"/>
        <v>14.104453262786596</v>
      </c>
      <c r="R34" s="21">
        <f t="shared" si="9"/>
        <v>150</v>
      </c>
    </row>
    <row r="35" spans="1:18" ht="14.65" thickBot="1" x14ac:dyDescent="0.5">
      <c r="A35" s="28" t="s">
        <v>27</v>
      </c>
      <c r="B35" s="14">
        <v>42</v>
      </c>
      <c r="C35" s="12">
        <f t="shared" si="0"/>
        <v>166.66666666666666</v>
      </c>
      <c r="D35" s="12">
        <f t="shared" si="1"/>
        <v>8.82</v>
      </c>
      <c r="E35" s="12">
        <f>$D$10/6</f>
        <v>63.492063492063494</v>
      </c>
      <c r="F35" s="12">
        <f t="shared" si="3"/>
        <v>13.32</v>
      </c>
      <c r="G35" s="12">
        <f t="shared" si="4"/>
        <v>0.16800000000000001</v>
      </c>
      <c r="H35" s="15">
        <f t="shared" si="5"/>
        <v>6.0071126228269076</v>
      </c>
      <c r="I35" s="7">
        <v>0.90500000000000003</v>
      </c>
      <c r="J35" s="8">
        <v>0.629</v>
      </c>
      <c r="K35" s="8">
        <v>0.52400000000000002</v>
      </c>
      <c r="L35" s="32">
        <v>0.38095238095238093</v>
      </c>
      <c r="M35" s="19">
        <f t="shared" si="6"/>
        <v>6.6376935058860864</v>
      </c>
      <c r="N35" s="12">
        <f t="shared" si="10"/>
        <v>9.5502585418551806</v>
      </c>
      <c r="O35" s="12">
        <f>(C35+SUM(D35:F35))/(B35*K35)</f>
        <v>11.46395538707425</v>
      </c>
      <c r="P35" s="12">
        <f t="shared" si="8"/>
        <v>15.768670634920634</v>
      </c>
      <c r="R35" s="22">
        <f t="shared" si="9"/>
        <v>162.50000000000003</v>
      </c>
    </row>
  </sheetData>
  <mergeCells count="2">
    <mergeCell ref="I28:L28"/>
    <mergeCell ref="M28:P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Szereday</dc:creator>
  <cp:lastModifiedBy>Sebastian Szereday</cp:lastModifiedBy>
  <dcterms:created xsi:type="dcterms:W3CDTF">2024-11-21T03:17:18Z</dcterms:created>
  <dcterms:modified xsi:type="dcterms:W3CDTF">2025-11-05T17:50:47Z</dcterms:modified>
</cp:coreProperties>
</file>